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Flujos" sheetId="2" state="visible" r:id="rId2"/>
    <sheet name="Resultado" sheetId="3" state="visible" r:id="rId3"/>
  </sheets>
  <definedNames>
    <definedName name="VN">'Parámetros'!$B$4</definedName>
    <definedName name="TasaEmision">'Parámetros'!$B$5</definedName>
    <definedName name="FechaEmision">'Parámetros'!$B$6</definedName>
    <definedName name="FechaVenc">'Parámetros'!$B$7</definedName>
    <definedName name="Freq">'Parámetros'!$B$8</definedName>
    <definedName name="TIRmercado">'Parámetros'!$B$9</definedName>
    <definedName name="FechaValor">'Parámetros'!$B$10</definedName>
    <definedName name="Base">'Parámetros'!$B$11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%"/>
    <numFmt numFmtId="165" formatCode="yyyy-mm-dd"/>
    <numFmt numFmtId="166" formatCode="DD/MM/YYYY"/>
    <numFmt numFmtId="167" formatCode="0.000000"/>
    <numFmt numFmtId="168" formatCode="#,##0.0000"/>
    <numFmt numFmtId="169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ourier New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167" fontId="4" fillId="2" borderId="1" applyAlignment="1" pivotButton="0" quotePrefix="0" xfId="0">
      <alignment horizontal="right" vertical="center"/>
    </xf>
    <xf numFmtId="4" fontId="4" fillId="2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2" customWidth="1" min="3" max="3"/>
  </cols>
  <sheetData>
    <row r="1" ht="30" customHeight="1">
      <c r="A1" s="1" t="inlineStr">
        <is>
          <t>CALCULADORA DE VALORIZACIÓN – RENTA FIJA</t>
        </is>
      </c>
    </row>
    <row r="2" ht="8" customHeight="1"/>
    <row r="3" ht="22" customHeight="1">
      <c r="A3" s="2" t="inlineStr">
        <is>
          <t>Parámetros de Entrada</t>
        </is>
      </c>
    </row>
    <row r="4" ht="20" customHeight="1">
      <c r="A4" s="3" t="inlineStr">
        <is>
          <t>Monto Nominal (VN)</t>
        </is>
      </c>
      <c r="B4" s="4" t="n">
        <v>1000000</v>
      </c>
      <c r="C4" s="5" t="inlineStr">
        <is>
          <t>Valor par del bono</t>
        </is>
      </c>
    </row>
    <row r="5" ht="20" customHeight="1">
      <c r="A5" s="3" t="inlineStr">
        <is>
          <t>Tasa de Emisión (anual %)</t>
        </is>
      </c>
      <c r="B5" s="6" t="n">
        <v>0.06</v>
      </c>
      <c r="C5" s="5" t="inlineStr">
        <is>
          <t>Tasa nominal anual del cupón</t>
        </is>
      </c>
    </row>
    <row r="6" ht="20" customHeight="1">
      <c r="A6" s="3" t="inlineStr">
        <is>
          <t>Fecha de Emisión</t>
        </is>
      </c>
      <c r="B6" s="7" t="n">
        <v>45658</v>
      </c>
      <c r="C6" s="5" t="inlineStr">
        <is>
          <t>Fecha de inicio del bono</t>
        </is>
      </c>
    </row>
    <row r="7" ht="20" customHeight="1">
      <c r="A7" s="3" t="inlineStr">
        <is>
          <t>Fecha de Vencimiento</t>
        </is>
      </c>
      <c r="B7" s="7" t="n">
        <v>46753</v>
      </c>
      <c r="C7" s="5" t="inlineStr">
        <is>
          <t>Fecha de pago del último cupón + principal</t>
        </is>
      </c>
    </row>
    <row r="8" ht="20" customHeight="1">
      <c r="A8" s="3" t="inlineStr">
        <is>
          <t>Frecuencia de Pago (veces/año)</t>
        </is>
      </c>
      <c r="B8" s="8" t="n">
        <v>2</v>
      </c>
      <c r="C8" s="5" t="inlineStr">
        <is>
          <t>2=semestral, 4=trimestral, 12=mensual</t>
        </is>
      </c>
    </row>
    <row r="9" ht="20" customHeight="1">
      <c r="A9" s="3" t="inlineStr">
        <is>
          <t>TIR de Mercado (anual %)</t>
        </is>
      </c>
      <c r="B9" s="6" t="n">
        <v>0.075</v>
      </c>
      <c r="C9" s="5" t="inlineStr">
        <is>
          <t>Tasa de descuento de mercado (yield)</t>
        </is>
      </c>
    </row>
    <row r="10" ht="20" customHeight="1">
      <c r="A10" s="3" t="inlineStr">
        <is>
          <t>Fecha de Valorización</t>
        </is>
      </c>
      <c r="B10" s="7" t="n">
        <v>46174</v>
      </c>
      <c r="C10" s="5" t="inlineStr">
        <is>
          <t>Fecha en que se realiza la valorización</t>
        </is>
      </c>
    </row>
    <row r="11" ht="20" customHeight="1">
      <c r="A11" s="3" t="inlineStr">
        <is>
          <t>Convención de días (360 o 365)</t>
        </is>
      </c>
      <c r="B11" s="8" t="n">
        <v>360</v>
      </c>
      <c r="C11" s="5" t="inlineStr">
        <is>
          <t>Base 360 (30/360) o 365 (Act/365)</t>
        </is>
      </c>
    </row>
    <row r="13">
      <c r="A13" s="9" t="inlineStr">
        <is>
          <t>⚠  Modifique los valores en las celdas amarillas (columna B). Las hojas 'Flujos' y 'Resultado' se actualizarán automáticamente.</t>
        </is>
      </c>
    </row>
  </sheetData>
  <mergeCells count="4">
    <mergeCell ref="A1:C1"/>
    <mergeCell ref="A13:C13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Tabla de Flujos – Bono Bullet</t>
        </is>
      </c>
    </row>
    <row r="2" ht="36" customHeight="1">
      <c r="A2" s="10" t="inlineStr">
        <is>
          <t>N° Cupón</t>
        </is>
      </c>
      <c r="B2" s="10" t="inlineStr">
        <is>
          <t>Fecha de Pago</t>
        </is>
      </c>
      <c r="C2" s="10" t="inlineStr">
        <is>
          <t>Días hasta
Fecha Pago</t>
        </is>
      </c>
      <c r="D2" s="10" t="inlineStr">
        <is>
          <t>Factor de
Descuento</t>
        </is>
      </c>
      <c r="E2" s="10" t="inlineStr">
        <is>
          <t>Amortización
Capital</t>
        </is>
      </c>
      <c r="F2" s="10" t="inlineStr">
        <is>
          <t>Intereses
(Cupón)</t>
        </is>
      </c>
      <c r="G2" s="10" t="inlineStr">
        <is>
          <t>Flujo
Total</t>
        </is>
      </c>
      <c r="H2" s="10" t="inlineStr">
        <is>
          <t>Flujo
Descontado</t>
        </is>
      </c>
    </row>
    <row r="3" ht="18" customHeight="1">
      <c r="A3" s="11" t="n">
        <v>1</v>
      </c>
      <c r="B3" s="12">
        <f>EDATE(FechaEmision, 1*(12/Freq))</f>
        <v/>
      </c>
      <c r="C3" s="11">
        <f>B3-FechaValor</f>
        <v/>
      </c>
      <c r="D3" s="13">
        <f>1/((1+TIRmercado)^(C3/Base))</f>
        <v/>
      </c>
      <c r="E3" s="14" t="n">
        <v>0</v>
      </c>
      <c r="F3" s="14">
        <f>VN*TasaEmision/Freq</f>
        <v/>
      </c>
      <c r="G3" s="14">
        <f>E3+F3</f>
        <v/>
      </c>
      <c r="H3" s="14">
        <f>G3*D3</f>
        <v/>
      </c>
    </row>
    <row r="4" ht="18" customHeight="1">
      <c r="A4" s="11" t="n">
        <v>2</v>
      </c>
      <c r="B4" s="12">
        <f>EDATE(FechaEmision, 2*(12/Freq))</f>
        <v/>
      </c>
      <c r="C4" s="11">
        <f>B4-FechaValor</f>
        <v/>
      </c>
      <c r="D4" s="13">
        <f>1/((1+TIRmercado)^(C4/Base))</f>
        <v/>
      </c>
      <c r="E4" s="14" t="n">
        <v>0</v>
      </c>
      <c r="F4" s="14">
        <f>VN*TasaEmision/Freq</f>
        <v/>
      </c>
      <c r="G4" s="14">
        <f>E4+F4</f>
        <v/>
      </c>
      <c r="H4" s="14">
        <f>G4*D4</f>
        <v/>
      </c>
    </row>
    <row r="5" ht="18" customHeight="1">
      <c r="A5" s="11" t="n">
        <v>3</v>
      </c>
      <c r="B5" s="12">
        <f>EDATE(FechaEmision, 3*(12/Freq))</f>
        <v/>
      </c>
      <c r="C5" s="11">
        <f>B5-FechaValor</f>
        <v/>
      </c>
      <c r="D5" s="13">
        <f>1/((1+TIRmercado)^(C5/Base))</f>
        <v/>
      </c>
      <c r="E5" s="14" t="n">
        <v>0</v>
      </c>
      <c r="F5" s="14">
        <f>VN*TasaEmision/Freq</f>
        <v/>
      </c>
      <c r="G5" s="14">
        <f>E5+F5</f>
        <v/>
      </c>
      <c r="H5" s="14">
        <f>G5*D5</f>
        <v/>
      </c>
    </row>
    <row r="6" ht="18" customHeight="1">
      <c r="A6" s="11" t="n">
        <v>4</v>
      </c>
      <c r="B6" s="12">
        <f>EDATE(FechaEmision, 4*(12/Freq))</f>
        <v/>
      </c>
      <c r="C6" s="11">
        <f>B6-FechaValor</f>
        <v/>
      </c>
      <c r="D6" s="13">
        <f>1/((1+TIRmercado)^(C6/Base))</f>
        <v/>
      </c>
      <c r="E6" s="14" t="n">
        <v>0</v>
      </c>
      <c r="F6" s="14">
        <f>VN*TasaEmision/Freq</f>
        <v/>
      </c>
      <c r="G6" s="14">
        <f>E6+F6</f>
        <v/>
      </c>
      <c r="H6" s="14">
        <f>G6*D6</f>
        <v/>
      </c>
    </row>
    <row r="7" ht="18" customHeight="1">
      <c r="A7" s="11" t="n">
        <v>5</v>
      </c>
      <c r="B7" s="12">
        <f>EDATE(FechaEmision, 5*(12/Freq))</f>
        <v/>
      </c>
      <c r="C7" s="11">
        <f>B7-FechaValor</f>
        <v/>
      </c>
      <c r="D7" s="13">
        <f>1/((1+TIRmercado)^(C7/Base))</f>
        <v/>
      </c>
      <c r="E7" s="14" t="n">
        <v>0</v>
      </c>
      <c r="F7" s="14">
        <f>VN*TasaEmision/Freq</f>
        <v/>
      </c>
      <c r="G7" s="14">
        <f>E7+F7</f>
        <v/>
      </c>
      <c r="H7" s="14">
        <f>G7*D7</f>
        <v/>
      </c>
    </row>
    <row r="8" ht="18" customHeight="1">
      <c r="A8" s="11" t="n">
        <v>6</v>
      </c>
      <c r="B8" s="12">
        <f>EDATE(FechaEmision, 6*(12/Freq))</f>
        <v/>
      </c>
      <c r="C8" s="11">
        <f>B8-FechaValor</f>
        <v/>
      </c>
      <c r="D8" s="13">
        <f>1/((1+TIRmercado)^(C8/Base))</f>
        <v/>
      </c>
      <c r="E8" s="14">
        <f>VN</f>
        <v/>
      </c>
      <c r="F8" s="14">
        <f>VN*TasaEmision/Freq</f>
        <v/>
      </c>
      <c r="G8" s="14">
        <f>E8+F8</f>
        <v/>
      </c>
      <c r="H8" s="14">
        <f>G8*D8</f>
        <v/>
      </c>
    </row>
    <row r="9" ht="22" customHeight="1">
      <c r="A9" s="15" t="inlineStr">
        <is>
          <t>PRECIO DE MERCADO (Suma de Flujos Descontados)</t>
        </is>
      </c>
      <c r="H9" s="16">
        <f>SUM(H3:H8)</f>
        <v/>
      </c>
    </row>
    <row r="11">
      <c r="A11" s="9" t="inlineStr">
        <is>
          <t>Nota: Factor de Descuento = 1/(1+TIR_Mercado)^(Días/Base).  Se utiliza tasa continua-exponencial en base días/base para mayor precisión.</t>
        </is>
      </c>
    </row>
  </sheetData>
  <mergeCells count="3">
    <mergeCell ref="A11:H11"/>
    <mergeCell ref="A9:G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2" customWidth="1" min="3" max="3"/>
  </cols>
  <sheetData>
    <row r="1" ht="30" customHeight="1">
      <c r="A1" s="1" t="inlineStr">
        <is>
          <t>Resultado de Valorización</t>
        </is>
      </c>
    </row>
    <row r="2" ht="8" customHeight="1"/>
    <row r="3" ht="22" customHeight="1">
      <c r="A3" s="2" t="inlineStr">
        <is>
          <t>Indicadores de Valorización</t>
        </is>
      </c>
    </row>
    <row r="4" ht="22" customHeight="1">
      <c r="A4" s="3" t="inlineStr">
        <is>
          <t>Precio de Mercado (Precio Sucio)</t>
        </is>
      </c>
      <c r="B4" s="17">
        <f>Flujos!H9</f>
        <v/>
      </c>
      <c r="C4" s="5" t="inlineStr">
        <is>
          <t>Suma de flujos descontados a TIR de mercado</t>
        </is>
      </c>
    </row>
    <row r="5" ht="22" customHeight="1">
      <c r="A5" s="3" t="inlineStr">
        <is>
          <t>Interés Devengado</t>
        </is>
      </c>
      <c r="B5" s="17">
        <f>VN*(TasaEmision/Freq)*((FechaValor-EDATE(FechaEmision,(6-1)*(12/Freq)))/Base)</f>
        <v/>
      </c>
      <c r="C5" s="5" t="inlineStr">
        <is>
          <t>VN × (TasaEmisión/Freq) × (días desde último cupón / Base)</t>
        </is>
      </c>
    </row>
    <row r="6" ht="22" customHeight="1">
      <c r="A6" s="3" t="inlineStr">
        <is>
          <t>Precio Limpio</t>
        </is>
      </c>
      <c r="B6" s="17">
        <f>B4-B5</f>
        <v/>
      </c>
      <c r="C6" s="5" t="inlineStr">
        <is>
          <t>Precio Sucio − Interés Devengado</t>
        </is>
      </c>
    </row>
    <row r="7" ht="22" customHeight="1">
      <c r="A7" s="3" t="inlineStr">
        <is>
          <t>TIR de Mercado</t>
        </is>
      </c>
      <c r="B7" s="18">
        <f>TIRmercado</f>
        <v/>
      </c>
      <c r="C7" s="5" t="inlineStr">
        <is>
          <t>Tasa de descuento ingresada por el usuario</t>
        </is>
      </c>
    </row>
    <row r="8" ht="22" customHeight="1">
      <c r="A8" s="3" t="inlineStr">
        <is>
          <t>TIR por Período</t>
        </is>
      </c>
      <c r="B8" s="18">
        <f>(1+TIRmercado)^(1/Freq)-1</f>
        <v/>
      </c>
      <c r="C8" s="5" t="inlineStr">
        <is>
          <t>(1 + TIR_anual)^(1/Freq) − 1</t>
        </is>
      </c>
    </row>
    <row r="9" ht="22" customHeight="1">
      <c r="A9" s="3" t="inlineStr">
        <is>
          <t>TERA</t>
        </is>
      </c>
      <c r="B9" s="18">
        <f>((1+((1+TIRmercado)^(1/Freq)-1))^Freq)-1</f>
        <v/>
      </c>
      <c r="C9" s="5" t="inlineStr">
        <is>
          <t>Tasa Efectiva de Retorno Anual</t>
        </is>
      </c>
    </row>
    <row r="10" ht="22" customHeight="1">
      <c r="A10" s="3" t="inlineStr">
        <is>
          <t>Rendimiento (%)</t>
        </is>
      </c>
      <c r="B10" s="19">
        <f>B9*100</f>
        <v/>
      </c>
      <c r="C10" s="5" t="inlineStr">
        <is>
          <t>TERA expresada en porcentaje</t>
        </is>
      </c>
    </row>
    <row r="11" ht="10" customHeight="1"/>
    <row r="12" ht="22" customHeight="1">
      <c r="A12" s="2" t="inlineStr">
        <is>
          <t>Metodología de cálculo – TERA</t>
        </is>
      </c>
    </row>
    <row r="13" ht="20" customHeight="1">
      <c r="A13" s="3" t="inlineStr">
        <is>
          <t>Paso 1</t>
        </is>
      </c>
      <c r="B13" s="20" t="inlineStr">
        <is>
          <t>TIR por período = (1 + TIR_anual)^(1/Freq) − 1</t>
        </is>
      </c>
      <c r="C13" s="5" t="inlineStr">
        <is>
          <t>Convierte la TIR anual en tasa por período de pago</t>
        </is>
      </c>
    </row>
    <row r="14" ht="20" customHeight="1">
      <c r="A14" s="3" t="inlineStr">
        <is>
          <t>Paso 2</t>
        </is>
      </c>
      <c r="B14" s="20" t="inlineStr">
        <is>
          <t>TERA = (1 + TIR_período)^Freq − 1</t>
        </is>
      </c>
      <c r="C14" s="5" t="inlineStr">
        <is>
          <t>Anualiza la tasa por período → Tasa Efectiva Anual</t>
        </is>
      </c>
    </row>
    <row r="15" ht="20" customHeight="1">
      <c r="A15" s="3" t="inlineStr">
        <is>
          <t>Resultado</t>
        </is>
      </c>
      <c r="B15" s="20" t="inlineStr">
        <is>
          <t>TERA ≈ TIR cuando los flujos se anualizan correctamente</t>
        </is>
      </c>
      <c r="C15" s="5" t="inlineStr">
        <is>
          <t>Confirma la consistencia del cálculo</t>
        </is>
      </c>
    </row>
    <row r="17" ht="18" customHeight="1">
      <c r="A17" s="21" t="inlineStr">
        <is>
          <t>La TERA (Tasa de Retorno Anual Efectiva) es el rendimiento anualizado que obtendrá el inversionista si adquiere el bono al Precio de Mercado calculado y lo mantiene hasta el vencimiento, asumiendo que se reinvierten los cupones a la misma tasa. Es equivalente a la TIR (Yield to Maturity) expresada en base anual efectiva.</t>
        </is>
      </c>
    </row>
    <row r="18" ht="18" customHeight="1"/>
    <row r="19" ht="18" customHeight="1"/>
    <row r="20" ht="18" customHeight="1"/>
  </sheetData>
  <mergeCells count="6">
    <mergeCell ref="A11:C11"/>
    <mergeCell ref="A1:C1"/>
    <mergeCell ref="A3:C3"/>
    <mergeCell ref="A12:C12"/>
    <mergeCell ref="A17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2026-06-23T16:01:32Z</dcterms:created>
  <dcterms:modified xsi:type="dcterms:W3CDTF">2026-06-23T16:01:32Z</dcterms:modified>
</cp:coreProperties>
</file>